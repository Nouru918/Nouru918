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게임 QA 포트폴리오\트릭컬 리바이브\"/>
    </mc:Choice>
  </mc:AlternateContent>
  <xr:revisionPtr revIDLastSave="0" documentId="13_ncr:1_{CC8C4F5A-E1C5-4BE1-96DE-28B3979FE1D5}" xr6:coauthVersionLast="47" xr6:coauthVersionMax="47" xr10:uidLastSave="{00000000-0000-0000-0000-000000000000}"/>
  <bookViews>
    <workbookView xWindow="13155" yWindow="1815" windowWidth="15345" windowHeight="12420" xr2:uid="{2E9394F5-9565-47E9-AF5A-C1710AC896A3}"/>
  </bookViews>
  <sheets>
    <sheet name="지표" sheetId="1" r:id="rId1"/>
    <sheet name="속성 이미지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" l="1"/>
  <c r="O8" i="1"/>
  <c r="O7" i="1"/>
  <c r="O6" i="1"/>
  <c r="O5" i="1"/>
  <c r="E69" i="1"/>
  <c r="E68" i="1"/>
  <c r="E66" i="1"/>
  <c r="E65" i="1"/>
  <c r="E63" i="1"/>
  <c r="E62" i="1"/>
  <c r="E60" i="1"/>
  <c r="E59" i="1"/>
  <c r="E57" i="1"/>
  <c r="E56" i="1"/>
  <c r="E54" i="1"/>
  <c r="E53" i="1"/>
  <c r="E51" i="1"/>
  <c r="E3" i="1"/>
  <c r="E14" i="1"/>
  <c r="E12" i="1"/>
  <c r="E4" i="1"/>
  <c r="E5" i="1"/>
  <c r="E6" i="1"/>
  <c r="E7" i="1"/>
  <c r="E8" i="1"/>
  <c r="E9" i="1"/>
  <c r="E10" i="1"/>
  <c r="E11" i="1"/>
  <c r="E15" i="1"/>
  <c r="E16" i="1"/>
  <c r="E17" i="1"/>
  <c r="E18" i="1"/>
  <c r="E19" i="1"/>
  <c r="E20" i="1"/>
  <c r="E21" i="1"/>
  <c r="E23" i="1"/>
  <c r="E24" i="1"/>
  <c r="E26" i="1"/>
  <c r="E27" i="1"/>
  <c r="E29" i="1"/>
  <c r="E30" i="1"/>
  <c r="E32" i="1"/>
  <c r="E33" i="1"/>
  <c r="E35" i="1"/>
  <c r="E36" i="1"/>
  <c r="E38" i="1"/>
  <c r="E39" i="1"/>
  <c r="E41" i="1"/>
  <c r="E42" i="1"/>
  <c r="E44" i="1"/>
  <c r="E45" i="1"/>
  <c r="E47" i="1"/>
  <c r="E48" i="1"/>
  <c r="E50" i="1"/>
  <c r="O10" i="1" l="1"/>
</calcChain>
</file>

<file path=xl/sharedStrings.xml><?xml version="1.0" encoding="utf-8"?>
<sst xmlns="http://schemas.openxmlformats.org/spreadsheetml/2006/main" count="224" uniqueCount="90">
  <si>
    <t>년도</t>
    <phoneticPr fontId="1" type="noConversion"/>
  </si>
  <si>
    <t>시작일</t>
    <phoneticPr fontId="1" type="noConversion"/>
  </si>
  <si>
    <t>종료일</t>
    <phoneticPr fontId="1" type="noConversion"/>
  </si>
  <si>
    <t>테마 속성</t>
    <phoneticPr fontId="1" type="noConversion"/>
  </si>
  <si>
    <t>상성 속성</t>
    <phoneticPr fontId="1" type="noConversion"/>
  </si>
  <si>
    <t>효과1</t>
    <phoneticPr fontId="1" type="noConversion"/>
  </si>
  <si>
    <t>효과2</t>
    <phoneticPr fontId="1" type="noConversion"/>
  </si>
  <si>
    <t>중열 사도의 공격력이 15%가 증가됩니다</t>
  </si>
  <si>
    <t>SP 회복 속도가 30% 감소됩니다</t>
  </si>
  <si>
    <t>우울</t>
  </si>
  <si>
    <t>냉정</t>
  </si>
  <si>
    <t>활발</t>
  </si>
  <si>
    <t>냉정</t>
    <phoneticPr fontId="1" type="noConversion"/>
  </si>
  <si>
    <t>광기</t>
  </si>
  <si>
    <t>광기</t>
    <phoneticPr fontId="1" type="noConversion"/>
  </si>
  <si>
    <t>순수</t>
  </si>
  <si>
    <t>순수</t>
    <phoneticPr fontId="1" type="noConversion"/>
  </si>
  <si>
    <t>활발</t>
    <phoneticPr fontId="1" type="noConversion"/>
  </si>
  <si>
    <t>우울</t>
    <phoneticPr fontId="1" type="noConversion"/>
  </si>
  <si>
    <t>마법 공격력이 15% 증가</t>
  </si>
  <si>
    <t>물리 공격력이 15% 감소</t>
  </si>
  <si>
    <t>SP 회복 속도 30% 증가</t>
  </si>
  <si>
    <t>공격력 5% 감소</t>
  </si>
  <si>
    <t>전열 사도의 피해량 25% 증가</t>
  </si>
  <si>
    <t>HP 회복량 30% 증가</t>
  </si>
  <si>
    <t>중열 사도의 피해량 25% 증가</t>
  </si>
  <si>
    <t>SP 회복량 30% 증가</t>
  </si>
  <si>
    <t>일반 공격 피해량 25% 증가</t>
  </si>
  <si>
    <t>고학년 스킬 재사용 대기시간 25% 감소</t>
  </si>
  <si>
    <t>스킬 공격 피해량 25% 증가</t>
  </si>
  <si>
    <t>02/29</t>
    <phoneticPr fontId="1" type="noConversion"/>
  </si>
  <si>
    <t>마법 피해량 15% 증가</t>
  </si>
  <si>
    <t>상태이상으로 주는 피해 50% 증가</t>
  </si>
  <si>
    <t>공격 속도 30% 증가</t>
  </si>
  <si>
    <t>엘리아스 프론티어</t>
  </si>
  <si>
    <t>스킬 공격 피해량 증가 25%</t>
  </si>
  <si>
    <t>고학년 스킬 재사용 대기시간 감소 25%</t>
  </si>
  <si>
    <t>베타테스트</t>
    <phoneticPr fontId="1" type="noConversion"/>
  </si>
  <si>
    <t>특이 사항</t>
    <phoneticPr fontId="1" type="noConversion"/>
  </si>
  <si>
    <t xml:space="preserve">일반 공격 피해량 증가 25% </t>
  </si>
  <si>
    <t>공격 속도 증가 30%</t>
  </si>
  <si>
    <t xml:space="preserve">화상 상태 적에게 주는 피해량 증가 30% </t>
  </si>
  <si>
    <t>SP 회복 속도 15% 증가</t>
  </si>
  <si>
    <t>성격 상성으로 받는 피해량 75% 감소</t>
  </si>
  <si>
    <t>감전 상태 적에게 주는 피해량 30% 증가</t>
  </si>
  <si>
    <t>엘리아스 프론티어</t>
    <phoneticPr fontId="1" type="noConversion"/>
  </si>
  <si>
    <t>정규 시즌</t>
    <phoneticPr fontId="1" type="noConversion"/>
  </si>
  <si>
    <t>대상에게 걸린 디버프 종류 수에 따라 피해량 10% 증가</t>
  </si>
  <si>
    <t>저학년 스킬 피해량 25% 증가</t>
  </si>
  <si>
    <t>상성으로 받는 피해량 50% 감소</t>
  </si>
  <si>
    <t>정규시즌</t>
    <phoneticPr fontId="1" type="noConversion"/>
  </si>
  <si>
    <t>쓰라림 상태 적에게 주는 피해량 50% 증가</t>
  </si>
  <si>
    <t>상성으로 받는 피해 50% 감소</t>
  </si>
  <si>
    <r>
      <rPr>
        <sz val="11"/>
        <color rgb="FF000000"/>
        <rFont val="맑은 고딕"/>
        <family val="3"/>
        <charset val="129"/>
      </rPr>
      <t>상성으로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받는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피해</t>
    </r>
    <r>
      <rPr>
        <sz val="11"/>
        <color rgb="FF000000"/>
        <rFont val="Arial"/>
        <family val="2"/>
      </rPr>
      <t xml:space="preserve"> 50% </t>
    </r>
    <r>
      <rPr>
        <sz val="11"/>
        <color rgb="FF000000"/>
        <rFont val="맑은 고딕"/>
        <family val="3"/>
        <charset val="129"/>
      </rPr>
      <t>감소</t>
    </r>
    <phoneticPr fontId="1" type="noConversion"/>
  </si>
  <si>
    <t>물리 피해량 15% 증가</t>
  </si>
  <si>
    <t>스킬 공격 피해량 15% 증가</t>
  </si>
  <si>
    <t>후열 피해량 증가 25%</t>
  </si>
  <si>
    <t>물리 피해량 증가 25%</t>
  </si>
  <si>
    <t>물리 피해량 25% 증가</t>
  </si>
  <si>
    <t>쓰라림 상태 적에게 주는 피해량 25% 증가</t>
  </si>
  <si>
    <t>마법 피해량 증가 25%</t>
  </si>
  <si>
    <t>대상에게 걸린 디버프 종류 수에 따라 피해량 증가 10%</t>
  </si>
  <si>
    <t>전열 사도 피해량 25% 증가</t>
  </si>
  <si>
    <r>
      <rPr>
        <sz val="11"/>
        <color rgb="FF000000"/>
        <rFont val="맑은 고딕"/>
        <family val="3"/>
        <charset val="129"/>
      </rPr>
      <t>상성으로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받는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피해</t>
    </r>
    <r>
      <rPr>
        <sz val="11"/>
        <color rgb="FF000000"/>
        <rFont val="Arial"/>
        <family val="2"/>
      </rPr>
      <t xml:space="preserve"> 50%</t>
    </r>
    <r>
      <rPr>
        <sz val="11"/>
        <color rgb="FF000000"/>
        <rFont val="맑은 고딕"/>
        <family val="3"/>
        <charset val="129"/>
      </rPr>
      <t>감소</t>
    </r>
    <phoneticPr fontId="1" type="noConversion"/>
  </si>
  <si>
    <t>보호막 효과 60% 증가</t>
  </si>
  <si>
    <t>전열 사도의 피해량 30% 증가</t>
  </si>
  <si>
    <t>HP 회복량 증가 30%</t>
  </si>
  <si>
    <t>후열 사도의 피해량 30% 증가</t>
  </si>
  <si>
    <t>마법 피해량 25% 증가</t>
  </si>
  <si>
    <t>공격 속도 15% 증가</t>
  </si>
  <si>
    <r>
      <rPr>
        <sz val="11"/>
        <color rgb="FF000000"/>
        <rFont val="맑은 고딕"/>
        <family val="3"/>
        <charset val="129"/>
      </rPr>
      <t>기본</t>
    </r>
    <r>
      <rPr>
        <sz val="11"/>
        <color rgb="FF000000"/>
        <rFont val="Arial"/>
        <family val="2"/>
      </rPr>
      <t xml:space="preserve"> SP </t>
    </r>
    <r>
      <rPr>
        <sz val="11"/>
        <color rgb="FF000000"/>
        <rFont val="맑은 고딕"/>
        <family val="3"/>
        <charset val="129"/>
      </rPr>
      <t>회복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속도</t>
    </r>
    <r>
      <rPr>
        <sz val="11"/>
        <color rgb="FF000000"/>
        <rFont val="Arial"/>
        <family val="2"/>
      </rPr>
      <t xml:space="preserve"> 30% </t>
    </r>
    <r>
      <rPr>
        <sz val="11"/>
        <color rgb="FF000000"/>
        <rFont val="맑은 고딕"/>
        <family val="3"/>
        <charset val="129"/>
      </rPr>
      <t>증가</t>
    </r>
    <phoneticPr fontId="1" type="noConversion"/>
  </si>
  <si>
    <t>기본 SP 회복량 30% 증가</t>
  </si>
  <si>
    <t>고학년 스킬 피해량 25% 증가</t>
  </si>
  <si>
    <t>후열 피해량 25% 증가</t>
  </si>
  <si>
    <t>스킬 공격 피해량 300% 증가</t>
  </si>
  <si>
    <t>성격 상성으로 받는 피해량 50% 감소</t>
  </si>
  <si>
    <t>화상 상태 적에게 주는 피해량 30% 증가</t>
  </si>
  <si>
    <t>대충돌 2.0 BETA</t>
  </si>
  <si>
    <t>대충돌 2.0 BETA</t>
    <phoneticPr fontId="1" type="noConversion"/>
  </si>
  <si>
    <t>광기 사도의 받는 피해량 20% 감소</t>
  </si>
  <si>
    <t>후열 사도의 피해량 25% 증가</t>
  </si>
  <si>
    <t>순수 사도의 받는 피해량 20% 감소</t>
  </si>
  <si>
    <t>스킬 피해량 25% 증가</t>
  </si>
  <si>
    <r>
      <t xml:space="preserve">SP </t>
    </r>
    <r>
      <rPr>
        <sz val="11"/>
        <color rgb="FF000000"/>
        <rFont val="맑은 고딕"/>
        <family val="3"/>
        <charset val="129"/>
      </rPr>
      <t>회복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속도</t>
    </r>
    <r>
      <rPr>
        <sz val="11"/>
        <color rgb="FF000000"/>
        <rFont val="Arial"/>
        <family val="2"/>
      </rPr>
      <t xml:space="preserve"> 30% </t>
    </r>
    <r>
      <rPr>
        <sz val="11"/>
        <color rgb="FF000000"/>
        <rFont val="맑은 고딕"/>
        <family val="3"/>
        <charset val="129"/>
      </rPr>
      <t>증가</t>
    </r>
    <phoneticPr fontId="1" type="noConversion"/>
  </si>
  <si>
    <t>냉정 사도의 받는 피해량 20% 감소</t>
  </si>
  <si>
    <t>결산</t>
    <phoneticPr fontId="1" type="noConversion"/>
  </si>
  <si>
    <t>속성</t>
    <phoneticPr fontId="1" type="noConversion"/>
  </si>
  <si>
    <t>수</t>
    <phoneticPr fontId="1" type="noConversion"/>
  </si>
  <si>
    <t>합계</t>
    <phoneticPr fontId="1" type="noConversion"/>
  </si>
  <si>
    <r>
      <t>트릭컬: 리바이브 최종콘텐츠 속성 지표</t>
    </r>
    <r>
      <rPr>
        <sz val="10"/>
        <color theme="1"/>
        <rFont val="맑은 고딕"/>
        <family val="3"/>
        <charset val="129"/>
        <scheme val="minor"/>
      </rPr>
      <t xml:space="preserve"> (2026.06.27 수정)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</si>
</sst>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/&quot;dd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rgb="FF333333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2" xfId="0" applyFont="1" applyBorder="1">
      <alignment vertical="center"/>
    </xf>
    <xf numFmtId="0" fontId="6" fillId="2" borderId="6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0" fillId="0" borderId="0" xfId="0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4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84044</xdr:rowOff>
    </xdr:to>
    <xdr:sp macro="" textlink="">
      <xdr:nvSpPr>
        <xdr:cNvPr id="2" name="AutoShape 1" descr="Common UnitPerso...">
          <a:extLst>
            <a:ext uri="{FF2B5EF4-FFF2-40B4-BE49-F238E27FC236}">
              <a16:creationId xmlns:a16="http://schemas.microsoft.com/office/drawing/2014/main" id="{73CBF8EE-20C0-4977-9E42-B2E1ABA01D6D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84044</xdr:rowOff>
    </xdr:to>
    <xdr:sp macro="" textlink="">
      <xdr:nvSpPr>
        <xdr:cNvPr id="3" name="AutoShape 2" descr="Common UnitPerso...">
          <a:extLst>
            <a:ext uri="{FF2B5EF4-FFF2-40B4-BE49-F238E27FC236}">
              <a16:creationId xmlns:a16="http://schemas.microsoft.com/office/drawing/2014/main" id="{26B5679A-99D2-4B9E-AD3F-9C798AC3A1A3}"/>
            </a:ext>
          </a:extLst>
        </xdr:cNvPr>
        <xdr:cNvSpPr>
          <a:spLocks noChangeAspect="1" noChangeArrowheads="1"/>
        </xdr:cNvSpPr>
      </xdr:nvSpPr>
      <xdr:spPr bwMode="auto">
        <a:xfrm>
          <a:off x="8202706" y="672353"/>
          <a:ext cx="304800" cy="30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484231</xdr:colOff>
      <xdr:row>5</xdr:row>
      <xdr:rowOff>0</xdr:rowOff>
    </xdr:from>
    <xdr:to>
      <xdr:col>14</xdr:col>
      <xdr:colOff>0</xdr:colOff>
      <xdr:row>6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9B55721-3170-45E5-B263-3F94F86C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098176"/>
          <a:ext cx="199328" cy="212912"/>
        </a:xfrm>
        <a:prstGeom prst="rect">
          <a:avLst/>
        </a:prstGeom>
      </xdr:spPr>
    </xdr:pic>
    <xdr:clientData/>
  </xdr:twoCellAnchor>
  <xdr:twoCellAnchor editAs="oneCell">
    <xdr:from>
      <xdr:col>13</xdr:col>
      <xdr:colOff>474009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4FC737B-1096-42B9-97FB-FC74DF121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274" y="885265"/>
          <a:ext cx="209550" cy="212911"/>
        </a:xfrm>
        <a:prstGeom prst="rect">
          <a:avLst/>
        </a:prstGeom>
      </xdr:spPr>
    </xdr:pic>
    <xdr:clientData/>
  </xdr:twoCellAnchor>
  <xdr:twoCellAnchor editAs="oneCell">
    <xdr:from>
      <xdr:col>13</xdr:col>
      <xdr:colOff>484231</xdr:colOff>
      <xdr:row>6</xdr:row>
      <xdr:rowOff>0</xdr:rowOff>
    </xdr:from>
    <xdr:to>
      <xdr:col>14</xdr:col>
      <xdr:colOff>0</xdr:colOff>
      <xdr:row>7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B9D4D19-001B-4546-A2D4-B1673F4C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311088"/>
          <a:ext cx="199328" cy="212912"/>
        </a:xfrm>
        <a:prstGeom prst="rect">
          <a:avLst/>
        </a:prstGeom>
      </xdr:spPr>
    </xdr:pic>
    <xdr:clientData/>
  </xdr:twoCellAnchor>
  <xdr:twoCellAnchor editAs="oneCell">
    <xdr:from>
      <xdr:col>13</xdr:col>
      <xdr:colOff>484231</xdr:colOff>
      <xdr:row>7</xdr:row>
      <xdr:rowOff>0</xdr:rowOff>
    </xdr:from>
    <xdr:to>
      <xdr:col>14</xdr:col>
      <xdr:colOff>0</xdr:colOff>
      <xdr:row>7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68A12C-E256-4120-AEC0-903F7AF1D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524000"/>
          <a:ext cx="199328" cy="209550"/>
        </a:xfrm>
        <a:prstGeom prst="rect">
          <a:avLst/>
        </a:prstGeom>
      </xdr:spPr>
    </xdr:pic>
    <xdr:clientData/>
  </xdr:twoCellAnchor>
  <xdr:oneCellAnchor>
    <xdr:from>
      <xdr:col>13</xdr:col>
      <xdr:colOff>474010</xdr:colOff>
      <xdr:row>4</xdr:row>
      <xdr:rowOff>1</xdr:rowOff>
    </xdr:from>
    <xdr:ext cx="209549" cy="212911"/>
    <xdr:pic>
      <xdr:nvPicPr>
        <xdr:cNvPr id="16" name="그림 15">
          <a:extLst>
            <a:ext uri="{FF2B5EF4-FFF2-40B4-BE49-F238E27FC236}">
              <a16:creationId xmlns:a16="http://schemas.microsoft.com/office/drawing/2014/main" id="{4247F0D1-F255-4282-A4B1-3E87D4F09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360275" y="952501"/>
          <a:ext cx="209549" cy="212911"/>
        </a:xfrm>
        <a:prstGeom prst="rect">
          <a:avLst/>
        </a:prstGeom>
      </xdr:spPr>
    </xdr:pic>
    <xdr:clientData/>
  </xdr:oneCellAnchor>
  <xdr:oneCellAnchor>
    <xdr:from>
      <xdr:col>13</xdr:col>
      <xdr:colOff>484231</xdr:colOff>
      <xdr:row>6</xdr:row>
      <xdr:rowOff>0</xdr:rowOff>
    </xdr:from>
    <xdr:ext cx="199328" cy="212912"/>
    <xdr:pic>
      <xdr:nvPicPr>
        <xdr:cNvPr id="17" name="그림 16">
          <a:extLst>
            <a:ext uri="{FF2B5EF4-FFF2-40B4-BE49-F238E27FC236}">
              <a16:creationId xmlns:a16="http://schemas.microsoft.com/office/drawing/2014/main" id="{D1063DD7-DBDA-4563-ADC2-FD3247B1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378324"/>
          <a:ext cx="199328" cy="212912"/>
        </a:xfrm>
        <a:prstGeom prst="rect">
          <a:avLst/>
        </a:prstGeom>
      </xdr:spPr>
    </xdr:pic>
    <xdr:clientData/>
  </xdr:oneCellAnchor>
  <xdr:oneCellAnchor>
    <xdr:from>
      <xdr:col>13</xdr:col>
      <xdr:colOff>474009</xdr:colOff>
      <xdr:row>5</xdr:row>
      <xdr:rowOff>0</xdr:rowOff>
    </xdr:from>
    <xdr:ext cx="209550" cy="212911"/>
    <xdr:pic>
      <xdr:nvPicPr>
        <xdr:cNvPr id="18" name="그림 17">
          <a:extLst>
            <a:ext uri="{FF2B5EF4-FFF2-40B4-BE49-F238E27FC236}">
              <a16:creationId xmlns:a16="http://schemas.microsoft.com/office/drawing/2014/main" id="{09457C75-D3DA-4B6E-BDA7-D02BCA525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274" y="1165412"/>
          <a:ext cx="209550" cy="212911"/>
        </a:xfrm>
        <a:prstGeom prst="rect">
          <a:avLst/>
        </a:prstGeom>
      </xdr:spPr>
    </xdr:pic>
    <xdr:clientData/>
  </xdr:oneCellAnchor>
  <xdr:oneCellAnchor>
    <xdr:from>
      <xdr:col>13</xdr:col>
      <xdr:colOff>484231</xdr:colOff>
      <xdr:row>7</xdr:row>
      <xdr:rowOff>0</xdr:rowOff>
    </xdr:from>
    <xdr:ext cx="199328" cy="212912"/>
    <xdr:pic>
      <xdr:nvPicPr>
        <xdr:cNvPr id="19" name="그림 18">
          <a:extLst>
            <a:ext uri="{FF2B5EF4-FFF2-40B4-BE49-F238E27FC236}">
              <a16:creationId xmlns:a16="http://schemas.microsoft.com/office/drawing/2014/main" id="{33FC85A5-136E-4A12-890F-13D321B37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591235"/>
          <a:ext cx="199328" cy="212912"/>
        </a:xfrm>
        <a:prstGeom prst="rect">
          <a:avLst/>
        </a:prstGeom>
      </xdr:spPr>
    </xdr:pic>
    <xdr:clientData/>
  </xdr:oneCellAnchor>
  <xdr:oneCellAnchor>
    <xdr:from>
      <xdr:col>13</xdr:col>
      <xdr:colOff>484231</xdr:colOff>
      <xdr:row>8</xdr:row>
      <xdr:rowOff>0</xdr:rowOff>
    </xdr:from>
    <xdr:ext cx="199328" cy="209550"/>
    <xdr:pic>
      <xdr:nvPicPr>
        <xdr:cNvPr id="20" name="그림 19">
          <a:extLst>
            <a:ext uri="{FF2B5EF4-FFF2-40B4-BE49-F238E27FC236}">
              <a16:creationId xmlns:a16="http://schemas.microsoft.com/office/drawing/2014/main" id="{EDCC1439-8524-4412-97CD-644D28A29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496" y="1804147"/>
          <a:ext cx="199328" cy="2095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95250</xdr:rowOff>
    </xdr:to>
    <xdr:sp macro="" textlink="">
      <xdr:nvSpPr>
        <xdr:cNvPr id="2049" name="AutoShape 1" descr="Common UnitPerso...">
          <a:extLst>
            <a:ext uri="{FF2B5EF4-FFF2-40B4-BE49-F238E27FC236}">
              <a16:creationId xmlns:a16="http://schemas.microsoft.com/office/drawing/2014/main" id="{18B75585-1892-BA9E-F82E-D524F715C39B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95250</xdr:rowOff>
    </xdr:to>
    <xdr:sp macro="" textlink="">
      <xdr:nvSpPr>
        <xdr:cNvPr id="2050" name="AutoShape 2" descr="Common UnitPerso...">
          <a:extLst>
            <a:ext uri="{FF2B5EF4-FFF2-40B4-BE49-F238E27FC236}">
              <a16:creationId xmlns:a16="http://schemas.microsoft.com/office/drawing/2014/main" id="{0D22DEB0-534F-73F8-649D-8D100483506C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1</xdr:rowOff>
    </xdr:from>
    <xdr:to>
      <xdr:col>1</xdr:col>
      <xdr:colOff>209549</xdr:colOff>
      <xdr:row>1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E4F681A-50BA-D7B9-9DBF-63AECBD35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85800" y="1"/>
          <a:ext cx="209549" cy="2095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199328</xdr:colOff>
      <xdr:row>3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7F97FFA-E8D8-8794-A319-5006698A3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9100"/>
          <a:ext cx="199328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7487BFD-6354-475E-536F-FCFC3268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209550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199328</xdr:colOff>
      <xdr:row>4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E4D8B3F-8CFB-B9CC-A701-D9D5EF55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28650"/>
          <a:ext cx="199328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199328</xdr:colOff>
      <xdr:row>5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9D80A1A-33C9-5DCC-D77F-E98A7C8D1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38200"/>
          <a:ext cx="199328" cy="20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981E-A51B-4940-A551-C6D07D3B0715}">
  <dimension ref="A1:O72"/>
  <sheetViews>
    <sheetView tabSelected="1" topLeftCell="A51" zoomScale="85" zoomScaleNormal="85" workbookViewId="0">
      <selection activeCell="K73" sqref="K73"/>
    </sheetView>
  </sheetViews>
  <sheetFormatPr defaultRowHeight="16.5" x14ac:dyDescent="0.3"/>
  <cols>
    <col min="2" max="3" width="9" style="1"/>
    <col min="6" max="6" width="9" customWidth="1"/>
  </cols>
  <sheetData>
    <row r="1" spans="1:15" ht="39.75" thickBot="1" x14ac:dyDescent="0.35">
      <c r="A1" s="18" t="s">
        <v>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ht="17.25" thickBot="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L2" t="s">
        <v>38</v>
      </c>
      <c r="N2" s="17"/>
      <c r="O2" s="17"/>
    </row>
    <row r="3" spans="1:15" ht="17.25" thickBot="1" x14ac:dyDescent="0.35">
      <c r="A3">
        <v>2023</v>
      </c>
      <c r="B3" s="1">
        <v>46328</v>
      </c>
      <c r="C3" s="1">
        <v>46335</v>
      </c>
      <c r="D3" t="s">
        <v>9</v>
      </c>
      <c r="E3" t="str">
        <f>IF(D3="냉정", "순수", IF(D3="순수", "광기", IF(D3="광기", "냉정", IF(D3="활발", "우울", IF(D3="우울", "활발", "")))))</f>
        <v>활발</v>
      </c>
      <c r="F3" s="2" t="s">
        <v>7</v>
      </c>
      <c r="G3" s="2" t="s">
        <v>8</v>
      </c>
      <c r="N3" s="21" t="s">
        <v>85</v>
      </c>
      <c r="O3" s="22"/>
    </row>
    <row r="4" spans="1:15" ht="17.25" thickBot="1" x14ac:dyDescent="0.35">
      <c r="B4" s="1">
        <v>46342</v>
      </c>
      <c r="C4" s="1">
        <v>46349</v>
      </c>
      <c r="D4" t="s">
        <v>10</v>
      </c>
      <c r="E4" t="str">
        <f t="shared" ref="E4:E69" si="0">IF(D4="","",_xlfn.SWITCH(D4,"냉정","순수","순수","광기","광기","냉정","활발","우울","우울","활발"))</f>
        <v>순수</v>
      </c>
      <c r="F4" s="2" t="s">
        <v>19</v>
      </c>
      <c r="G4" s="2" t="s">
        <v>20</v>
      </c>
      <c r="N4" s="14" t="s">
        <v>86</v>
      </c>
      <c r="O4" s="15" t="s">
        <v>87</v>
      </c>
    </row>
    <row r="5" spans="1:15" x14ac:dyDescent="0.3">
      <c r="B5" s="1">
        <v>46356</v>
      </c>
      <c r="C5" s="1">
        <v>46363</v>
      </c>
      <c r="D5" t="s">
        <v>10</v>
      </c>
      <c r="E5" t="str">
        <f t="shared" si="0"/>
        <v>순수</v>
      </c>
      <c r="F5" s="2" t="s">
        <v>21</v>
      </c>
      <c r="G5" s="2" t="s">
        <v>22</v>
      </c>
      <c r="N5" s="10" t="s">
        <v>12</v>
      </c>
      <c r="O5" s="7">
        <f>COUNTIF(E3:E1001, "냉정")</f>
        <v>12</v>
      </c>
    </row>
    <row r="6" spans="1:15" x14ac:dyDescent="0.3">
      <c r="B6" s="1">
        <v>46370</v>
      </c>
      <c r="C6" s="1">
        <v>46377</v>
      </c>
      <c r="D6" t="s">
        <v>11</v>
      </c>
      <c r="E6" t="str">
        <f t="shared" si="0"/>
        <v>우울</v>
      </c>
      <c r="F6" s="2" t="s">
        <v>23</v>
      </c>
      <c r="G6" s="2" t="s">
        <v>24</v>
      </c>
      <c r="H6" s="2"/>
      <c r="I6" s="3"/>
      <c r="L6" s="2"/>
      <c r="N6" s="12" t="s">
        <v>16</v>
      </c>
      <c r="O6" s="9">
        <f>COUNTIF(E3:E1001, "순수")</f>
        <v>12</v>
      </c>
    </row>
    <row r="7" spans="1:15" x14ac:dyDescent="0.3">
      <c r="B7" s="1">
        <v>46384</v>
      </c>
      <c r="C7" s="1">
        <v>46026</v>
      </c>
      <c r="D7" t="s">
        <v>15</v>
      </c>
      <c r="E7" t="str">
        <f t="shared" si="0"/>
        <v>광기</v>
      </c>
      <c r="F7" s="2" t="s">
        <v>25</v>
      </c>
      <c r="G7" s="2" t="s">
        <v>26</v>
      </c>
      <c r="N7" s="10" t="s">
        <v>14</v>
      </c>
      <c r="O7" s="7">
        <f>COUNTIF(E3:E1001, "광기")</f>
        <v>12</v>
      </c>
    </row>
    <row r="8" spans="1:15" x14ac:dyDescent="0.3">
      <c r="A8">
        <v>2024</v>
      </c>
      <c r="B8" s="1">
        <v>46033</v>
      </c>
      <c r="C8" s="1">
        <v>46040</v>
      </c>
      <c r="D8" t="s">
        <v>9</v>
      </c>
      <c r="E8" t="str">
        <f t="shared" si="0"/>
        <v>활발</v>
      </c>
      <c r="F8" s="2" t="s">
        <v>27</v>
      </c>
      <c r="G8" s="2" t="s">
        <v>28</v>
      </c>
      <c r="N8" s="12" t="s">
        <v>17</v>
      </c>
      <c r="O8" s="9">
        <f>COUNTIF(E3:E1001, "활발")</f>
        <v>7</v>
      </c>
    </row>
    <row r="9" spans="1:15" ht="17.25" thickBot="1" x14ac:dyDescent="0.35">
      <c r="B9" s="1">
        <v>46047</v>
      </c>
      <c r="C9" s="1">
        <v>46054</v>
      </c>
      <c r="D9" t="s">
        <v>15</v>
      </c>
      <c r="E9" t="str">
        <f t="shared" si="0"/>
        <v>광기</v>
      </c>
      <c r="F9" s="2" t="s">
        <v>25</v>
      </c>
      <c r="G9" s="2" t="s">
        <v>29</v>
      </c>
      <c r="N9" s="11" t="s">
        <v>18</v>
      </c>
      <c r="O9" s="8">
        <f>COUNTIF(E3:E1001, "우울")</f>
        <v>9</v>
      </c>
    </row>
    <row r="10" spans="1:15" ht="17.25" thickBot="1" x14ac:dyDescent="0.35">
      <c r="B10" s="1">
        <v>46061</v>
      </c>
      <c r="C10" s="1">
        <v>46068</v>
      </c>
      <c r="D10" t="s">
        <v>15</v>
      </c>
      <c r="E10" t="str">
        <f t="shared" si="0"/>
        <v>광기</v>
      </c>
      <c r="F10" s="2" t="s">
        <v>23</v>
      </c>
      <c r="G10" s="2" t="s">
        <v>21</v>
      </c>
      <c r="N10" s="16" t="s">
        <v>88</v>
      </c>
      <c r="O10" s="13">
        <f>SUM(O5:O9)</f>
        <v>52</v>
      </c>
    </row>
    <row r="11" spans="1:15" x14ac:dyDescent="0.3">
      <c r="B11" s="1">
        <v>46075</v>
      </c>
      <c r="C11" s="4" t="s">
        <v>30</v>
      </c>
      <c r="D11" t="s">
        <v>10</v>
      </c>
      <c r="E11" t="str">
        <f t="shared" si="0"/>
        <v>순수</v>
      </c>
      <c r="F11" s="2" t="s">
        <v>31</v>
      </c>
      <c r="G11" s="2" t="s">
        <v>25</v>
      </c>
    </row>
    <row r="12" spans="1:15" x14ac:dyDescent="0.3">
      <c r="B12" s="1">
        <v>46088</v>
      </c>
      <c r="C12" s="1">
        <v>46095</v>
      </c>
      <c r="D12" t="s">
        <v>10</v>
      </c>
      <c r="E12" t="str">
        <f t="shared" si="0"/>
        <v>순수</v>
      </c>
      <c r="F12" s="2" t="s">
        <v>32</v>
      </c>
      <c r="G12" s="2" t="s">
        <v>21</v>
      </c>
      <c r="H12" s="5"/>
    </row>
    <row r="13" spans="1:15" x14ac:dyDescent="0.3">
      <c r="B13" s="1">
        <v>46095</v>
      </c>
      <c r="C13" s="1">
        <v>46109</v>
      </c>
      <c r="D13" t="s">
        <v>34</v>
      </c>
      <c r="F13" s="2"/>
      <c r="G13" s="2"/>
      <c r="L13" t="s">
        <v>37</v>
      </c>
    </row>
    <row r="14" spans="1:15" x14ac:dyDescent="0.3">
      <c r="B14" s="1">
        <v>46102</v>
      </c>
      <c r="C14" s="1">
        <v>46109</v>
      </c>
      <c r="D14" t="s">
        <v>11</v>
      </c>
      <c r="E14" t="str">
        <f t="shared" si="0"/>
        <v>우울</v>
      </c>
      <c r="F14" s="2" t="s">
        <v>31</v>
      </c>
      <c r="G14" s="2" t="s">
        <v>33</v>
      </c>
    </row>
    <row r="15" spans="1:15" x14ac:dyDescent="0.3">
      <c r="B15" s="1">
        <v>46116</v>
      </c>
      <c r="C15" s="1">
        <v>46123</v>
      </c>
      <c r="D15" t="s">
        <v>13</v>
      </c>
      <c r="E15" t="str">
        <f t="shared" si="0"/>
        <v>냉정</v>
      </c>
      <c r="F15" s="2" t="s">
        <v>35</v>
      </c>
      <c r="G15" s="2" t="s">
        <v>36</v>
      </c>
    </row>
    <row r="16" spans="1:15" x14ac:dyDescent="0.3">
      <c r="B16" s="1">
        <v>46130</v>
      </c>
      <c r="C16" s="1">
        <v>46137</v>
      </c>
      <c r="D16" t="s">
        <v>18</v>
      </c>
      <c r="E16" t="str">
        <f t="shared" si="0"/>
        <v>활발</v>
      </c>
      <c r="F16" s="2" t="s">
        <v>39</v>
      </c>
      <c r="G16" s="2" t="s">
        <v>40</v>
      </c>
    </row>
    <row r="17" spans="2:12" x14ac:dyDescent="0.3">
      <c r="B17" s="1">
        <v>46151</v>
      </c>
      <c r="C17" s="1">
        <v>46158</v>
      </c>
      <c r="D17" t="s">
        <v>16</v>
      </c>
      <c r="E17" t="str">
        <f t="shared" si="0"/>
        <v>광기</v>
      </c>
      <c r="F17" s="2" t="s">
        <v>41</v>
      </c>
      <c r="G17" s="2" t="s">
        <v>42</v>
      </c>
    </row>
    <row r="18" spans="2:12" x14ac:dyDescent="0.3">
      <c r="B18" s="1">
        <v>46165</v>
      </c>
      <c r="C18" s="1">
        <v>46172</v>
      </c>
      <c r="D18" t="s">
        <v>11</v>
      </c>
      <c r="E18" t="str">
        <f t="shared" si="0"/>
        <v>우울</v>
      </c>
      <c r="F18" s="2" t="s">
        <v>43</v>
      </c>
      <c r="G18" s="2" t="s">
        <v>29</v>
      </c>
    </row>
    <row r="19" spans="2:12" x14ac:dyDescent="0.3">
      <c r="B19" s="1">
        <v>46179</v>
      </c>
      <c r="C19" s="1">
        <v>46186</v>
      </c>
      <c r="D19" t="s">
        <v>13</v>
      </c>
      <c r="E19" t="str">
        <f t="shared" si="0"/>
        <v>냉정</v>
      </c>
      <c r="F19" s="2" t="s">
        <v>44</v>
      </c>
      <c r="G19" s="2" t="s">
        <v>33</v>
      </c>
    </row>
    <row r="20" spans="2:12" x14ac:dyDescent="0.3">
      <c r="B20" s="1">
        <v>46200</v>
      </c>
      <c r="C20" s="1">
        <v>46207</v>
      </c>
      <c r="D20" t="s">
        <v>15</v>
      </c>
      <c r="E20" t="str">
        <f t="shared" si="0"/>
        <v>광기</v>
      </c>
      <c r="F20" s="6" t="s">
        <v>28</v>
      </c>
      <c r="G20" s="6" t="s">
        <v>25</v>
      </c>
    </row>
    <row r="21" spans="2:12" x14ac:dyDescent="0.3">
      <c r="B21" s="1">
        <v>46214</v>
      </c>
      <c r="C21" s="1">
        <v>46221</v>
      </c>
      <c r="D21" t="s">
        <v>12</v>
      </c>
      <c r="E21" t="str">
        <f t="shared" si="0"/>
        <v>순수</v>
      </c>
      <c r="F21" s="2" t="s">
        <v>29</v>
      </c>
      <c r="G21" s="2" t="s">
        <v>33</v>
      </c>
    </row>
    <row r="22" spans="2:12" x14ac:dyDescent="0.3">
      <c r="B22" s="1">
        <v>46228</v>
      </c>
      <c r="C22" s="1">
        <v>46235</v>
      </c>
      <c r="D22" t="s">
        <v>45</v>
      </c>
      <c r="L22" t="s">
        <v>46</v>
      </c>
    </row>
    <row r="23" spans="2:12" x14ac:dyDescent="0.3">
      <c r="B23" s="1">
        <v>46242</v>
      </c>
      <c r="C23" s="1">
        <v>46249</v>
      </c>
      <c r="D23" t="s">
        <v>14</v>
      </c>
      <c r="E23" t="str">
        <f t="shared" si="0"/>
        <v>냉정</v>
      </c>
      <c r="F23" s="2" t="s">
        <v>47</v>
      </c>
      <c r="G23" s="2" t="s">
        <v>31</v>
      </c>
    </row>
    <row r="24" spans="2:12" x14ac:dyDescent="0.3">
      <c r="B24" s="1">
        <v>46256</v>
      </c>
      <c r="C24" s="1">
        <v>46263</v>
      </c>
      <c r="D24" t="s">
        <v>18</v>
      </c>
      <c r="E24" t="str">
        <f t="shared" si="0"/>
        <v>활발</v>
      </c>
      <c r="F24" s="2" t="s">
        <v>48</v>
      </c>
      <c r="G24" s="2" t="s">
        <v>49</v>
      </c>
    </row>
    <row r="25" spans="2:12" x14ac:dyDescent="0.3">
      <c r="B25" s="1">
        <v>46270</v>
      </c>
      <c r="C25" s="1">
        <v>46277</v>
      </c>
      <c r="D25" t="s">
        <v>45</v>
      </c>
      <c r="L25" t="s">
        <v>50</v>
      </c>
    </row>
    <row r="26" spans="2:12" x14ac:dyDescent="0.3">
      <c r="B26" s="1">
        <v>46284</v>
      </c>
      <c r="C26" s="1">
        <v>46291</v>
      </c>
      <c r="D26" t="s">
        <v>12</v>
      </c>
      <c r="E26" t="str">
        <f t="shared" si="0"/>
        <v>순수</v>
      </c>
      <c r="F26" s="6" t="s">
        <v>51</v>
      </c>
      <c r="G26" s="6" t="s">
        <v>31</v>
      </c>
    </row>
    <row r="27" spans="2:12" x14ac:dyDescent="0.3">
      <c r="B27" s="1">
        <v>46298</v>
      </c>
      <c r="C27" s="1">
        <v>46305</v>
      </c>
      <c r="D27" t="s">
        <v>17</v>
      </c>
      <c r="E27" t="str">
        <f t="shared" si="0"/>
        <v>우울</v>
      </c>
      <c r="F27" s="5" t="s">
        <v>53</v>
      </c>
      <c r="G27" s="2" t="s">
        <v>21</v>
      </c>
    </row>
    <row r="28" spans="2:12" x14ac:dyDescent="0.3">
      <c r="B28" s="1">
        <v>46312</v>
      </c>
      <c r="C28" s="1">
        <v>46319</v>
      </c>
      <c r="D28" t="s">
        <v>45</v>
      </c>
      <c r="L28" t="s">
        <v>50</v>
      </c>
    </row>
    <row r="29" spans="2:12" x14ac:dyDescent="0.3">
      <c r="B29" s="1">
        <v>46326</v>
      </c>
      <c r="C29" s="1">
        <v>46333</v>
      </c>
      <c r="D29" t="s">
        <v>14</v>
      </c>
      <c r="E29" t="str">
        <f t="shared" si="0"/>
        <v>냉정</v>
      </c>
      <c r="F29" s="2" t="s">
        <v>47</v>
      </c>
      <c r="G29" s="2" t="s">
        <v>31</v>
      </c>
    </row>
    <row r="30" spans="2:12" x14ac:dyDescent="0.3">
      <c r="B30" s="1">
        <v>46340</v>
      </c>
      <c r="C30" s="1">
        <v>46347</v>
      </c>
      <c r="D30" t="s">
        <v>16</v>
      </c>
      <c r="E30" t="str">
        <f t="shared" si="0"/>
        <v>광기</v>
      </c>
      <c r="F30" s="6" t="s">
        <v>54</v>
      </c>
      <c r="G30" s="6" t="s">
        <v>55</v>
      </c>
    </row>
    <row r="31" spans="2:12" x14ac:dyDescent="0.3">
      <c r="B31" s="1">
        <v>46354</v>
      </c>
      <c r="C31" s="1">
        <v>46361</v>
      </c>
      <c r="D31" t="s">
        <v>45</v>
      </c>
      <c r="L31" t="s">
        <v>50</v>
      </c>
    </row>
    <row r="32" spans="2:12" x14ac:dyDescent="0.3">
      <c r="B32" s="1">
        <v>46368</v>
      </c>
      <c r="C32" s="1">
        <v>46375</v>
      </c>
      <c r="D32" t="s">
        <v>17</v>
      </c>
      <c r="E32" t="str">
        <f t="shared" si="0"/>
        <v>우울</v>
      </c>
      <c r="F32" s="5" t="s">
        <v>53</v>
      </c>
      <c r="G32" s="2" t="s">
        <v>21</v>
      </c>
    </row>
    <row r="33" spans="1:12" x14ac:dyDescent="0.3">
      <c r="B33" s="1">
        <v>46382</v>
      </c>
      <c r="C33" s="1">
        <v>46024</v>
      </c>
      <c r="D33" t="s">
        <v>12</v>
      </c>
      <c r="E33" t="str">
        <f t="shared" si="0"/>
        <v>순수</v>
      </c>
      <c r="F33" s="2" t="s">
        <v>56</v>
      </c>
      <c r="G33" s="2" t="s">
        <v>57</v>
      </c>
    </row>
    <row r="34" spans="1:12" x14ac:dyDescent="0.3">
      <c r="A34">
        <v>2025</v>
      </c>
      <c r="B34" s="1">
        <v>46031</v>
      </c>
      <c r="C34" s="1">
        <v>46038</v>
      </c>
      <c r="D34" t="s">
        <v>45</v>
      </c>
      <c r="L34" t="s">
        <v>46</v>
      </c>
    </row>
    <row r="35" spans="1:12" x14ac:dyDescent="0.3">
      <c r="B35" s="1">
        <v>46045</v>
      </c>
      <c r="C35" s="1">
        <v>46052</v>
      </c>
      <c r="D35" t="s">
        <v>16</v>
      </c>
      <c r="E35" t="str">
        <f t="shared" si="0"/>
        <v>광기</v>
      </c>
      <c r="F35" s="2" t="s">
        <v>58</v>
      </c>
      <c r="G35" s="2" t="s">
        <v>59</v>
      </c>
    </row>
    <row r="36" spans="1:12" x14ac:dyDescent="0.3">
      <c r="B36" s="1">
        <v>46059</v>
      </c>
      <c r="C36" s="1">
        <v>46066</v>
      </c>
      <c r="D36" t="s">
        <v>14</v>
      </c>
      <c r="E36" t="str">
        <f t="shared" si="0"/>
        <v>냉정</v>
      </c>
      <c r="F36" s="2" t="s">
        <v>60</v>
      </c>
      <c r="G36" s="2" t="s">
        <v>61</v>
      </c>
    </row>
    <row r="37" spans="1:12" x14ac:dyDescent="0.3">
      <c r="B37" s="1">
        <v>46073</v>
      </c>
      <c r="C37" s="1">
        <v>46080</v>
      </c>
      <c r="D37" t="s">
        <v>45</v>
      </c>
      <c r="L37" t="s">
        <v>46</v>
      </c>
    </row>
    <row r="38" spans="1:12" x14ac:dyDescent="0.3">
      <c r="B38" s="1">
        <v>46087</v>
      </c>
      <c r="C38" s="1">
        <v>46094</v>
      </c>
      <c r="D38" t="s">
        <v>18</v>
      </c>
      <c r="E38" t="str">
        <f t="shared" si="0"/>
        <v>활발</v>
      </c>
      <c r="F38" s="2" t="s">
        <v>62</v>
      </c>
      <c r="G38" s="5" t="s">
        <v>63</v>
      </c>
    </row>
    <row r="39" spans="1:12" x14ac:dyDescent="0.3">
      <c r="B39" s="1">
        <v>46101</v>
      </c>
      <c r="C39" s="1">
        <v>46108</v>
      </c>
      <c r="D39" t="s">
        <v>12</v>
      </c>
      <c r="E39" t="str">
        <f t="shared" si="0"/>
        <v>순수</v>
      </c>
      <c r="F39" s="2" t="s">
        <v>58</v>
      </c>
      <c r="G39" s="2" t="s">
        <v>44</v>
      </c>
    </row>
    <row r="40" spans="1:12" x14ac:dyDescent="0.3">
      <c r="B40" s="1">
        <v>46115</v>
      </c>
      <c r="C40" s="1">
        <v>46122</v>
      </c>
      <c r="D40" t="s">
        <v>45</v>
      </c>
      <c r="L40" t="s">
        <v>46</v>
      </c>
    </row>
    <row r="41" spans="1:12" x14ac:dyDescent="0.3">
      <c r="B41" s="1">
        <v>46129</v>
      </c>
      <c r="C41" s="1">
        <v>46136</v>
      </c>
      <c r="D41" t="s">
        <v>16</v>
      </c>
      <c r="E41" t="str">
        <f t="shared" si="0"/>
        <v>광기</v>
      </c>
      <c r="F41" s="2" t="s">
        <v>33</v>
      </c>
      <c r="G41" s="2" t="s">
        <v>64</v>
      </c>
    </row>
    <row r="42" spans="1:12" x14ac:dyDescent="0.3">
      <c r="B42" s="1">
        <v>46143</v>
      </c>
      <c r="C42" s="1">
        <v>46150</v>
      </c>
      <c r="D42" t="s">
        <v>14</v>
      </c>
      <c r="E42" t="str">
        <f t="shared" si="0"/>
        <v>냉정</v>
      </c>
      <c r="F42" s="2" t="s">
        <v>65</v>
      </c>
      <c r="G42" s="2" t="s">
        <v>28</v>
      </c>
    </row>
    <row r="43" spans="1:12" x14ac:dyDescent="0.3">
      <c r="B43" s="1">
        <v>46157</v>
      </c>
      <c r="C43" s="1">
        <v>46164</v>
      </c>
      <c r="D43" t="s">
        <v>45</v>
      </c>
      <c r="L43" t="s">
        <v>46</v>
      </c>
    </row>
    <row r="44" spans="1:12" x14ac:dyDescent="0.3">
      <c r="B44" s="1">
        <v>46171</v>
      </c>
      <c r="C44" s="1">
        <v>46178</v>
      </c>
      <c r="D44" t="s">
        <v>17</v>
      </c>
      <c r="E44" t="str">
        <f t="shared" si="0"/>
        <v>우울</v>
      </c>
      <c r="F44" s="2" t="s">
        <v>66</v>
      </c>
      <c r="G44" s="2" t="s">
        <v>36</v>
      </c>
    </row>
    <row r="45" spans="1:12" x14ac:dyDescent="0.3">
      <c r="B45" s="1">
        <v>46185</v>
      </c>
      <c r="C45" s="1">
        <v>46192</v>
      </c>
      <c r="D45" t="s">
        <v>14</v>
      </c>
      <c r="E45" t="str">
        <f t="shared" si="0"/>
        <v>냉정</v>
      </c>
      <c r="F45" s="2" t="s">
        <v>58</v>
      </c>
      <c r="G45" s="2" t="s">
        <v>65</v>
      </c>
    </row>
    <row r="46" spans="1:12" x14ac:dyDescent="0.3">
      <c r="B46" s="1">
        <v>46199</v>
      </c>
      <c r="C46" s="1">
        <v>46206</v>
      </c>
      <c r="D46" t="s">
        <v>45</v>
      </c>
      <c r="L46" t="s">
        <v>46</v>
      </c>
    </row>
    <row r="47" spans="1:12" x14ac:dyDescent="0.3">
      <c r="B47" s="1">
        <v>46213</v>
      </c>
      <c r="C47" s="1">
        <v>46220</v>
      </c>
      <c r="D47" t="s">
        <v>12</v>
      </c>
      <c r="E47" t="str">
        <f t="shared" si="0"/>
        <v>순수</v>
      </c>
      <c r="F47" s="2" t="s">
        <v>29</v>
      </c>
      <c r="G47" s="2" t="s">
        <v>67</v>
      </c>
    </row>
    <row r="48" spans="1:12" x14ac:dyDescent="0.3">
      <c r="B48" s="1">
        <v>46227</v>
      </c>
      <c r="C48" s="1">
        <v>46234</v>
      </c>
      <c r="D48" t="s">
        <v>16</v>
      </c>
      <c r="E48" t="str">
        <f t="shared" si="0"/>
        <v>광기</v>
      </c>
      <c r="F48" s="2" t="s">
        <v>68</v>
      </c>
      <c r="G48" s="2" t="s">
        <v>69</v>
      </c>
    </row>
    <row r="49" spans="1:12" x14ac:dyDescent="0.3">
      <c r="B49" s="1">
        <v>46241</v>
      </c>
      <c r="C49" s="1">
        <v>46248</v>
      </c>
      <c r="D49" t="s">
        <v>45</v>
      </c>
      <c r="L49" t="s">
        <v>46</v>
      </c>
    </row>
    <row r="50" spans="1:12" x14ac:dyDescent="0.3">
      <c r="B50" s="1">
        <v>46255</v>
      </c>
      <c r="C50" s="1">
        <v>46262</v>
      </c>
      <c r="D50" t="s">
        <v>18</v>
      </c>
      <c r="E50" t="str">
        <f t="shared" si="0"/>
        <v>활발</v>
      </c>
      <c r="F50" s="5" t="s">
        <v>70</v>
      </c>
      <c r="G50" s="2" t="s">
        <v>52</v>
      </c>
    </row>
    <row r="51" spans="1:12" x14ac:dyDescent="0.3">
      <c r="B51" s="1">
        <v>46269</v>
      </c>
      <c r="C51" s="1">
        <v>46276</v>
      </c>
      <c r="D51" t="s">
        <v>14</v>
      </c>
      <c r="E51" t="str">
        <f t="shared" si="0"/>
        <v>냉정</v>
      </c>
      <c r="F51" s="2" t="s">
        <v>72</v>
      </c>
      <c r="G51" s="2" t="s">
        <v>71</v>
      </c>
    </row>
    <row r="52" spans="1:12" x14ac:dyDescent="0.3">
      <c r="B52" s="1">
        <v>46283</v>
      </c>
      <c r="C52" s="1">
        <v>46290</v>
      </c>
      <c r="D52" t="s">
        <v>45</v>
      </c>
      <c r="L52" t="s">
        <v>46</v>
      </c>
    </row>
    <row r="53" spans="1:12" x14ac:dyDescent="0.3">
      <c r="B53" s="1">
        <v>46297</v>
      </c>
      <c r="C53" s="1">
        <v>46304</v>
      </c>
      <c r="D53" t="s">
        <v>16</v>
      </c>
      <c r="E53" t="str">
        <f t="shared" si="0"/>
        <v>광기</v>
      </c>
      <c r="F53" s="2" t="s">
        <v>73</v>
      </c>
      <c r="G53" s="2" t="s">
        <v>58</v>
      </c>
    </row>
    <row r="54" spans="1:12" x14ac:dyDescent="0.3">
      <c r="B54" s="1">
        <v>46311</v>
      </c>
      <c r="C54" s="1">
        <v>46318</v>
      </c>
      <c r="D54" t="s">
        <v>14</v>
      </c>
      <c r="E54" t="str">
        <f t="shared" si="0"/>
        <v>냉정</v>
      </c>
      <c r="F54" s="2" t="s">
        <v>58</v>
      </c>
      <c r="G54" s="2" t="s">
        <v>25</v>
      </c>
    </row>
    <row r="55" spans="1:12" x14ac:dyDescent="0.3">
      <c r="B55" s="1">
        <v>46325</v>
      </c>
      <c r="C55" s="1">
        <v>46332</v>
      </c>
      <c r="D55" t="s">
        <v>45</v>
      </c>
      <c r="L55" t="s">
        <v>46</v>
      </c>
    </row>
    <row r="56" spans="1:12" x14ac:dyDescent="0.3">
      <c r="B56" s="1">
        <v>46339</v>
      </c>
      <c r="C56" s="1">
        <v>46346</v>
      </c>
      <c r="D56" t="s">
        <v>17</v>
      </c>
      <c r="E56" t="str">
        <f t="shared" si="0"/>
        <v>우울</v>
      </c>
      <c r="F56" s="2" t="s">
        <v>74</v>
      </c>
      <c r="G56" s="2" t="s">
        <v>75</v>
      </c>
      <c r="L56" t="s">
        <v>78</v>
      </c>
    </row>
    <row r="57" spans="1:12" x14ac:dyDescent="0.3">
      <c r="B57" s="1">
        <v>46353</v>
      </c>
      <c r="C57" s="1">
        <v>46360</v>
      </c>
      <c r="D57" t="s">
        <v>14</v>
      </c>
      <c r="E57" t="str">
        <f t="shared" si="0"/>
        <v>냉정</v>
      </c>
      <c r="F57" s="2" t="s">
        <v>72</v>
      </c>
      <c r="G57" s="2" t="s">
        <v>73</v>
      </c>
    </row>
    <row r="58" spans="1:12" x14ac:dyDescent="0.3">
      <c r="B58" s="1">
        <v>46367</v>
      </c>
      <c r="C58" s="1">
        <v>46374</v>
      </c>
      <c r="D58" t="s">
        <v>45</v>
      </c>
      <c r="L58" t="s">
        <v>46</v>
      </c>
    </row>
    <row r="59" spans="1:12" x14ac:dyDescent="0.3">
      <c r="B59" s="1">
        <v>46381</v>
      </c>
      <c r="C59" s="1">
        <v>46023</v>
      </c>
      <c r="D59" t="s">
        <v>10</v>
      </c>
      <c r="E59" t="str">
        <f t="shared" si="0"/>
        <v>순수</v>
      </c>
      <c r="F59" s="2" t="s">
        <v>76</v>
      </c>
      <c r="G59" s="2" t="s">
        <v>71</v>
      </c>
      <c r="L59" t="s">
        <v>77</v>
      </c>
    </row>
    <row r="60" spans="1:12" x14ac:dyDescent="0.3">
      <c r="A60">
        <v>2026</v>
      </c>
      <c r="B60" s="1">
        <v>46030</v>
      </c>
      <c r="C60" s="1">
        <v>46037</v>
      </c>
      <c r="D60" t="s">
        <v>11</v>
      </c>
      <c r="E60" t="str">
        <f t="shared" si="0"/>
        <v>우울</v>
      </c>
      <c r="F60" s="2" t="s">
        <v>33</v>
      </c>
      <c r="G60" s="2" t="s">
        <v>52</v>
      </c>
    </row>
    <row r="61" spans="1:12" x14ac:dyDescent="0.3">
      <c r="B61" s="1">
        <v>46044</v>
      </c>
      <c r="C61" s="1">
        <v>46051</v>
      </c>
      <c r="D61" t="s">
        <v>45</v>
      </c>
      <c r="L61" t="s">
        <v>46</v>
      </c>
    </row>
    <row r="62" spans="1:12" x14ac:dyDescent="0.3">
      <c r="B62" s="1">
        <v>46058</v>
      </c>
      <c r="C62" s="1">
        <v>46065</v>
      </c>
      <c r="D62" t="s">
        <v>16</v>
      </c>
      <c r="E62" t="str">
        <f t="shared" si="0"/>
        <v>광기</v>
      </c>
      <c r="F62" s="2" t="s">
        <v>79</v>
      </c>
      <c r="G62" s="2" t="s">
        <v>33</v>
      </c>
      <c r="L62" t="s">
        <v>77</v>
      </c>
    </row>
    <row r="63" spans="1:12" x14ac:dyDescent="0.3">
      <c r="B63" s="1">
        <v>46072</v>
      </c>
      <c r="C63" s="1">
        <v>46079</v>
      </c>
      <c r="D63" t="s">
        <v>14</v>
      </c>
      <c r="E63" t="str">
        <f t="shared" si="0"/>
        <v>냉정</v>
      </c>
      <c r="F63" s="2" t="s">
        <v>71</v>
      </c>
      <c r="G63" s="2" t="s">
        <v>80</v>
      </c>
    </row>
    <row r="64" spans="1:12" x14ac:dyDescent="0.3">
      <c r="B64" s="1">
        <v>46086</v>
      </c>
      <c r="C64" s="1">
        <v>46093</v>
      </c>
      <c r="D64" t="s">
        <v>45</v>
      </c>
      <c r="L64" t="s">
        <v>46</v>
      </c>
    </row>
    <row r="65" spans="2:12" x14ac:dyDescent="0.3">
      <c r="B65" s="1">
        <v>46100</v>
      </c>
      <c r="C65" s="1">
        <v>46107</v>
      </c>
      <c r="D65" t="s">
        <v>12</v>
      </c>
      <c r="E65" t="str">
        <f t="shared" si="0"/>
        <v>순수</v>
      </c>
      <c r="F65" s="2" t="s">
        <v>27</v>
      </c>
      <c r="G65" s="2" t="s">
        <v>81</v>
      </c>
      <c r="L65" t="s">
        <v>77</v>
      </c>
    </row>
    <row r="66" spans="2:12" x14ac:dyDescent="0.3">
      <c r="B66" s="1">
        <v>46114</v>
      </c>
      <c r="C66" s="1">
        <v>46121</v>
      </c>
      <c r="D66" t="s">
        <v>12</v>
      </c>
      <c r="E66" t="str">
        <f t="shared" si="0"/>
        <v>순수</v>
      </c>
      <c r="F66" s="2" t="s">
        <v>71</v>
      </c>
      <c r="G66" s="2" t="s">
        <v>82</v>
      </c>
    </row>
    <row r="67" spans="2:12" x14ac:dyDescent="0.3">
      <c r="B67" s="1">
        <v>46128</v>
      </c>
      <c r="C67" s="1">
        <v>46135</v>
      </c>
      <c r="D67" t="s">
        <v>45</v>
      </c>
      <c r="L67" t="s">
        <v>46</v>
      </c>
    </row>
    <row r="68" spans="2:12" x14ac:dyDescent="0.3">
      <c r="B68" s="1">
        <v>46142</v>
      </c>
      <c r="C68" s="1">
        <v>46149</v>
      </c>
      <c r="D68" t="s">
        <v>14</v>
      </c>
      <c r="E68" t="str">
        <f t="shared" si="0"/>
        <v>냉정</v>
      </c>
      <c r="F68" s="2" t="s">
        <v>83</v>
      </c>
      <c r="G68" s="2" t="s">
        <v>84</v>
      </c>
      <c r="L68" t="s">
        <v>77</v>
      </c>
    </row>
    <row r="69" spans="2:12" x14ac:dyDescent="0.3">
      <c r="B69" s="1">
        <v>46156</v>
      </c>
      <c r="C69" s="1">
        <v>46163</v>
      </c>
      <c r="D69" t="s">
        <v>18</v>
      </c>
      <c r="E69" t="str">
        <f t="shared" si="0"/>
        <v>활발</v>
      </c>
      <c r="F69" s="2" t="s">
        <v>54</v>
      </c>
      <c r="G69" s="2" t="s">
        <v>52</v>
      </c>
    </row>
    <row r="70" spans="2:12" x14ac:dyDescent="0.3">
      <c r="B70" s="1">
        <v>46170</v>
      </c>
      <c r="C70" s="1">
        <v>46177</v>
      </c>
      <c r="D70" t="s">
        <v>34</v>
      </c>
      <c r="L70" t="s">
        <v>46</v>
      </c>
    </row>
    <row r="71" spans="2:12" x14ac:dyDescent="0.3">
      <c r="B71" s="1">
        <v>46184</v>
      </c>
      <c r="C71" s="1">
        <v>46191</v>
      </c>
      <c r="D71" t="s">
        <v>17</v>
      </c>
      <c r="E71" t="s">
        <v>18</v>
      </c>
      <c r="F71" s="2" t="s">
        <v>75</v>
      </c>
      <c r="G71" s="2" t="s">
        <v>72</v>
      </c>
      <c r="L71" t="s">
        <v>77</v>
      </c>
    </row>
    <row r="72" spans="2:12" x14ac:dyDescent="0.3">
      <c r="B72" s="1">
        <v>46198</v>
      </c>
      <c r="C72" s="1">
        <v>46205</v>
      </c>
      <c r="D72" t="s">
        <v>16</v>
      </c>
      <c r="E72" t="s">
        <v>14</v>
      </c>
      <c r="F72" s="2" t="s">
        <v>72</v>
      </c>
      <c r="G72" s="2" t="s">
        <v>62</v>
      </c>
    </row>
  </sheetData>
  <mergeCells count="3">
    <mergeCell ref="N2:O2"/>
    <mergeCell ref="A1:O1"/>
    <mergeCell ref="N3:O3"/>
  </mergeCells>
  <phoneticPr fontId="1" type="noConversion"/>
  <dataValidations count="1">
    <dataValidation type="list" allowBlank="1" showInputMessage="1" showErrorMessage="1" sqref="D3:D1048576" xr:uid="{59F35CF0-9911-45E3-B3B4-15A939E9198A}">
      <formula1>"냉정, 순수, 광기, 활발, 우울, 엘리아스 프론티어"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873D-6A97-4224-AE8B-63FB7B8859DD}">
  <dimension ref="A1:A5"/>
  <sheetViews>
    <sheetView zoomScaleNormal="100" workbookViewId="0">
      <selection activeCell="B5" sqref="B1:B5"/>
    </sheetView>
  </sheetViews>
  <sheetFormatPr defaultRowHeight="16.5" x14ac:dyDescent="0.3"/>
  <sheetData>
    <row r="1" spans="1:1" x14ac:dyDescent="0.3">
      <c r="A1" t="s">
        <v>12</v>
      </c>
    </row>
    <row r="2" spans="1:1" x14ac:dyDescent="0.3">
      <c r="A2" t="s">
        <v>16</v>
      </c>
    </row>
    <row r="3" spans="1:1" x14ac:dyDescent="0.3">
      <c r="A3" t="s">
        <v>14</v>
      </c>
    </row>
    <row r="4" spans="1:1" x14ac:dyDescent="0.3">
      <c r="A4" t="s">
        <v>17</v>
      </c>
    </row>
    <row r="5" spans="1:1" x14ac:dyDescent="0.3">
      <c r="A5" t="s">
        <v>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지표</vt:lpstr>
      <vt:lpstr>속성 이미지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성철 전</dc:creator>
  <cp:lastModifiedBy>성철 전</cp:lastModifiedBy>
  <dcterms:created xsi:type="dcterms:W3CDTF">2026-05-14T11:13:44Z</dcterms:created>
  <dcterms:modified xsi:type="dcterms:W3CDTF">2026-06-27T11:49:40Z</dcterms:modified>
</cp:coreProperties>
</file>